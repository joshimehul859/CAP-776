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922" documentId="13_ncr:1_{C93A1E68-2BC2-4AA1-AA42-5607C2755F51}" xr6:coauthVersionLast="47" xr6:coauthVersionMax="47" xr10:uidLastSave="{AC782E0E-6E68-4B5D-9EDB-32734F8C192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7" i="2"/>
  <c r="J47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61" i="2"/>
  <c r="J61" i="2" s="1"/>
  <c r="I60" i="2"/>
  <c r="J60" i="2" s="1"/>
  <c r="I59" i="2"/>
  <c r="J59" i="2" s="1"/>
  <c r="I63" i="2"/>
  <c r="J63" i="2" s="1"/>
  <c r="I62" i="2"/>
  <c r="J62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6" i="2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<sst xmlns="http://schemas.openxmlformats.org/spreadsheetml/2006/main" count="319" uniqueCount="110">
  <si>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</si>
  <si>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</si>
  <si>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</si>
  <si>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</si>
  <si>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</si>
  <si>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</si>
  <si>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</si>
  <si>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</si>
  <si>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</si>
  <si>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</si>
  <si>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</si>
  <si>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</si>
  <si>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</si>
  <si>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</si>
  <si>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</si>
  <si>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</si>
  <si>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</si>
  <si>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</si>
  <si>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</si>
  <si>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</si>
  <si>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</si>
  <si>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</si>
  <si>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</si>
  <si>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</si>
  <si>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</si>
  <si>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</si>
  <si>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</si>
  <si>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</si>
  <si>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</si>
  <si>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</si>
  <si>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</si>
  <si>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</si>
  <si>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</si>
  <si>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</si>
  <si>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</si>
  <si>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</si>
  <si>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</si>
  <si>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</si>
  <si>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</si>
  <si>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</si>
  <si>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</si>
  <si>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</si>
  <si>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</si>
  <si>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</si>
  <si>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</si>
  <si>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</si>
  <si>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</si>
  <si>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</si>
  <si>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</si>
  <si>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</si>
  <si>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</si>
  <si>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</si>
  <si>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</si>
  <si>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</si>
  <si>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</si>
  <si>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</si>
  <si>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</si>
  <si>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</si>
  <si>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</si>
  <si>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</si>
  <si>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</si>
  <si>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</si>
  <si>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</si>
  <si>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</si>
  <si>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</si>
  <si>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</si>
  <si>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</si>
  <si>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</si>
  <si>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</si>
  <si>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</si>
  <si>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</si>
  <si>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</si>
  <si>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</si>
  <si>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</si>
  <si>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</si>
  <si>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</si>
  <si>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</si>
  <si>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</si>
  <si>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</si>
  <si>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</si>
  <si>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</si>
  <si>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</si>
  <si>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</si>
  <si>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</si>
  <si>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</si>
  <si>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</si>
  <si>
    <t>Stressed</t>
  </si>
  <si>
    <t>c++  is too weak</t>
  </si>
  <si>
    <t>exam went well</t>
  </si>
  <si>
    <t>first mid term exam</t>
  </si>
  <si>
    <t>went to jalandhar</t>
  </si>
  <si>
    <t>spend whole day in train</t>
  </si>
  <si>
    <t>spend half day in train and then went to eastwood</t>
  </si>
  <si>
    <t>went ahmedabad to catch train</t>
  </si>
  <si>
    <t>a normal day at home</t>
  </si>
  <si>
    <t>outing with friends</t>
  </si>
  <si>
    <t>going on a trip with friends</t>
  </si>
  <si>
    <t>went khatu shyam jaipur</t>
  </si>
  <si>
    <t>spend day in udaipur</t>
  </si>
  <si>
    <t>enjoyed garba night</t>
  </si>
  <si>
    <t>visited mata rani temple</t>
  </si>
  <si>
    <t>last exam</t>
  </si>
  <si>
    <t>major protest held at our university.</t>
  </si>
  <si>
    <t>travelling to home</t>
  </si>
  <si>
    <t>first day at home</t>
  </si>
  <si>
    <t>met my all friends</t>
  </si>
  <si>
    <t>enjoyed in gamezone</t>
  </si>
  <si>
    <t>played pool</t>
  </si>
  <si>
    <t>a usual day</t>
  </si>
  <si>
    <t>celebrated friends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</si>
</sst>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9"/>
  <sheetViews>
    <sheetView showGridLines="0" tabSelected="1" zoomScaleNormal="100" workbookViewId="0">
      <pane xSplit="1" ySplit="5" topLeftCell="B66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87" si="0">IF(SUM(B6:F6,H6)=0,"",SUM(B6:F6,H6))</f>
        <v>1260</v>
      </c>
      <c r="J6" s="10">
        <f t="shared" ref="J6:J87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8">
        <v>46290</v>
      </c>
      <c r="B45" s="14">
        <v>420</v>
      </c>
      <c r="C45" s="14">
        <v>0</v>
      </c>
      <c r="D45" s="14">
        <v>60</v>
      </c>
      <c r="E45" s="14">
        <v>150</v>
      </c>
      <c r="F45" s="14">
        <v>250</v>
      </c>
      <c r="G45" s="14">
        <v>5</v>
      </c>
      <c r="H45" s="14">
        <v>280</v>
      </c>
      <c r="I45" s="15">
        <f t="shared" si="2"/>
        <v>1160</v>
      </c>
      <c r="J45" s="15">
        <f t="shared" si="3"/>
        <v>280</v>
      </c>
      <c r="K45" s="16" t="s">
        <v>86</v>
      </c>
      <c r="L45" s="16" t="s">
        <v>53</v>
      </c>
      <c r="M45" s="16" t="s">
        <v>54</v>
      </c>
      <c r="N45" s="17" t="s">
        <v>87</v>
      </c>
    </row>
    <row r="46" spans="1:14" x14ac:dyDescent="0.3">
      <c r="A46" s="8">
        <v>46291</v>
      </c>
      <c r="B46" s="14">
        <v>380</v>
      </c>
      <c r="C46" s="14">
        <v>0</v>
      </c>
      <c r="D46" s="14">
        <v>100</v>
      </c>
      <c r="E46" s="14">
        <v>80</v>
      </c>
      <c r="F46" s="14">
        <v>150</v>
      </c>
      <c r="G46" s="14">
        <v>3</v>
      </c>
      <c r="H46" s="14">
        <v>380</v>
      </c>
      <c r="I46" s="15">
        <f t="shared" si="0"/>
        <v>1090</v>
      </c>
      <c r="J46" s="15">
        <f t="shared" si="1"/>
        <v>350</v>
      </c>
      <c r="K46" s="16" t="s">
        <v>56</v>
      </c>
      <c r="L46" s="16" t="s">
        <v>63</v>
      </c>
      <c r="M46" s="16" t="s">
        <v>57</v>
      </c>
      <c r="N46" s="17"/>
    </row>
    <row r="47" spans="1:14" ht="28.8" x14ac:dyDescent="0.3">
      <c r="A47" s="8">
        <v>46292</v>
      </c>
      <c r="B47" s="14">
        <v>300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600</v>
      </c>
      <c r="I47" s="15">
        <f t="shared" ref="I47:I51" si="4">IF(SUM(B47:F47,H47)=0,"",SUM(B47:F47,H47))</f>
        <v>900</v>
      </c>
      <c r="J47" s="15">
        <f t="shared" ref="J47:J51" si="5">IF(I47="","",1440-I47)</f>
        <v>540</v>
      </c>
      <c r="K47" s="16" t="s">
        <v>56</v>
      </c>
      <c r="L47" s="16" t="s">
        <v>53</v>
      </c>
      <c r="M47" s="16" t="s">
        <v>57</v>
      </c>
      <c r="N47" s="17" t="s">
        <v>102</v>
      </c>
    </row>
    <row r="48" spans="1:14" x14ac:dyDescent="0.3">
      <c r="A48" s="8">
        <v>46293</v>
      </c>
      <c r="B48" s="14">
        <v>300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700</v>
      </c>
      <c r="I48" s="15">
        <f t="shared" si="4"/>
        <v>1000</v>
      </c>
      <c r="J48" s="15">
        <f t="shared" si="5"/>
        <v>440</v>
      </c>
      <c r="K48" s="16" t="s">
        <v>52</v>
      </c>
      <c r="L48" s="16" t="s">
        <v>52</v>
      </c>
      <c r="M48" s="16" t="s">
        <v>57</v>
      </c>
      <c r="N48" s="17" t="s">
        <v>103</v>
      </c>
    </row>
    <row r="49" spans="1:14" x14ac:dyDescent="0.3">
      <c r="A49" s="8">
        <v>46294</v>
      </c>
      <c r="B49" s="14">
        <v>380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800</v>
      </c>
      <c r="I49" s="15">
        <f t="shared" ref="I49" si="6">IF(SUM(B49:F49,H49)=0,"",SUM(B49:F49,H49))</f>
        <v>1180</v>
      </c>
      <c r="J49" s="15">
        <f t="shared" ref="J49" si="7">IF(I49="","",1440-I49)</f>
        <v>260</v>
      </c>
      <c r="K49" s="16" t="s">
        <v>52</v>
      </c>
      <c r="L49" s="16" t="s">
        <v>52</v>
      </c>
      <c r="M49" s="16" t="s">
        <v>54</v>
      </c>
      <c r="N49" s="17" t="s">
        <v>103</v>
      </c>
    </row>
    <row r="50" spans="1:14" x14ac:dyDescent="0.3">
      <c r="A50" s="8">
        <v>46295</v>
      </c>
      <c r="B50" s="14">
        <v>360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760</v>
      </c>
      <c r="I50" s="15">
        <f t="shared" si="4"/>
        <v>1120</v>
      </c>
      <c r="J50" s="15">
        <f t="shared" si="5"/>
        <v>320</v>
      </c>
      <c r="K50" s="16" t="s">
        <v>62</v>
      </c>
      <c r="L50" s="16" t="s">
        <v>70</v>
      </c>
      <c r="M50" s="16" t="s">
        <v>60</v>
      </c>
      <c r="N50" s="17" t="s">
        <v>104</v>
      </c>
    </row>
    <row r="51" spans="1:14" x14ac:dyDescent="0.3">
      <c r="A51" s="8">
        <v>46296</v>
      </c>
      <c r="B51" s="14">
        <v>420</v>
      </c>
      <c r="C51" s="14">
        <v>30</v>
      </c>
      <c r="D51" s="14">
        <v>0</v>
      </c>
      <c r="E51" s="14">
        <v>0</v>
      </c>
      <c r="F51" s="14">
        <v>0</v>
      </c>
      <c r="G51" s="14">
        <v>0</v>
      </c>
      <c r="H51" s="14">
        <v>700</v>
      </c>
      <c r="I51" s="15">
        <f t="shared" si="4"/>
        <v>1150</v>
      </c>
      <c r="J51" s="15">
        <f t="shared" si="5"/>
        <v>290</v>
      </c>
      <c r="K51" s="16" t="s">
        <v>62</v>
      </c>
      <c r="L51" s="16" t="s">
        <v>70</v>
      </c>
      <c r="M51" s="16" t="s">
        <v>60</v>
      </c>
      <c r="N51" s="17" t="s">
        <v>105</v>
      </c>
    </row>
    <row r="52" spans="1:14" x14ac:dyDescent="0.3">
      <c r="A52" s="8">
        <v>46297</v>
      </c>
      <c r="B52" s="14">
        <v>400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600</v>
      </c>
      <c r="I52" s="15">
        <f t="shared" ref="I52" si="8">IF(SUM(B52:F52,H52)=0,"",SUM(B52:F52,H52))</f>
        <v>1030</v>
      </c>
      <c r="J52" s="15">
        <f t="shared" ref="J52" si="9">IF(I52="","",1440-I52)</f>
        <v>410</v>
      </c>
      <c r="K52" s="16" t="s">
        <v>62</v>
      </c>
      <c r="L52" s="16" t="s">
        <v>70</v>
      </c>
      <c r="M52" s="16" t="s">
        <v>60</v>
      </c>
      <c r="N52" s="17" t="s">
        <v>96</v>
      </c>
    </row>
    <row r="53" spans="1:14" x14ac:dyDescent="0.3">
      <c r="A53" s="8">
        <v>46298</v>
      </c>
      <c r="B53" s="14">
        <v>280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800</v>
      </c>
      <c r="I53" s="15">
        <f t="shared" si="0"/>
        <v>1080</v>
      </c>
      <c r="J53" s="15">
        <f t="shared" si="1"/>
        <v>360</v>
      </c>
      <c r="K53" s="16" t="s">
        <v>62</v>
      </c>
      <c r="L53" s="16" t="s">
        <v>70</v>
      </c>
      <c r="M53" s="16" t="s">
        <v>60</v>
      </c>
      <c r="N53" s="17" t="s">
        <v>97</v>
      </c>
    </row>
    <row r="54" spans="1:14" x14ac:dyDescent="0.3">
      <c r="A54" s="8">
        <v>46299</v>
      </c>
      <c r="B54" s="14">
        <v>380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750</v>
      </c>
      <c r="I54" s="15">
        <f t="shared" si="0"/>
        <v>1130</v>
      </c>
      <c r="J54" s="15">
        <f t="shared" si="1"/>
        <v>310</v>
      </c>
      <c r="K54" s="16" t="s">
        <v>62</v>
      </c>
      <c r="L54" s="16" t="s">
        <v>70</v>
      </c>
      <c r="M54" s="16" t="s">
        <v>60</v>
      </c>
      <c r="N54" s="17" t="s">
        <v>98</v>
      </c>
    </row>
    <row r="55" spans="1:14" x14ac:dyDescent="0.3">
      <c r="A55" s="8">
        <v>46300</v>
      </c>
      <c r="B55" s="14">
        <v>430</v>
      </c>
      <c r="C55" s="14">
        <v>30</v>
      </c>
      <c r="D55" s="14">
        <v>0</v>
      </c>
      <c r="E55" s="14">
        <v>0</v>
      </c>
      <c r="F55" s="14">
        <v>200</v>
      </c>
      <c r="G55" s="14">
        <v>4</v>
      </c>
      <c r="H55" s="14">
        <v>450</v>
      </c>
      <c r="I55" s="15">
        <f t="shared" si="0"/>
        <v>1110</v>
      </c>
      <c r="J55" s="15">
        <f t="shared" si="1"/>
        <v>330</v>
      </c>
      <c r="K55" s="16" t="s">
        <v>56</v>
      </c>
      <c r="L55" s="16" t="s">
        <v>63</v>
      </c>
      <c r="M55" s="16" t="s">
        <v>57</v>
      </c>
      <c r="N55" s="17"/>
    </row>
    <row r="56" spans="1:14" x14ac:dyDescent="0.3">
      <c r="A56" s="8">
        <v>46301</v>
      </c>
      <c r="B56" s="14">
        <v>420</v>
      </c>
      <c r="C56" s="14">
        <v>30</v>
      </c>
      <c r="D56" s="14">
        <v>0</v>
      </c>
      <c r="E56" s="14">
        <v>0</v>
      </c>
      <c r="F56" s="14">
        <v>350</v>
      </c>
      <c r="G56" s="14">
        <v>7</v>
      </c>
      <c r="H56" s="14">
        <v>400</v>
      </c>
      <c r="I56" s="15">
        <f t="shared" si="0"/>
        <v>1200</v>
      </c>
      <c r="J56" s="15">
        <f t="shared" si="1"/>
        <v>240</v>
      </c>
      <c r="K56" s="16" t="s">
        <v>62</v>
      </c>
      <c r="L56" s="16" t="s">
        <v>70</v>
      </c>
      <c r="M56" s="16" t="s">
        <v>60</v>
      </c>
      <c r="N56" s="17" t="s">
        <v>95</v>
      </c>
    </row>
    <row r="57" spans="1:14" x14ac:dyDescent="0.3">
      <c r="A57" s="8">
        <v>46302</v>
      </c>
      <c r="B57" s="14">
        <v>400</v>
      </c>
      <c r="C57" s="14">
        <v>30</v>
      </c>
      <c r="D57" s="14">
        <v>0</v>
      </c>
      <c r="E57" s="14">
        <v>0</v>
      </c>
      <c r="F57" s="14">
        <v>350</v>
      </c>
      <c r="G57" s="14">
        <v>7</v>
      </c>
      <c r="H57" s="14">
        <v>350</v>
      </c>
      <c r="I57" s="15">
        <f t="shared" si="0"/>
        <v>1130</v>
      </c>
      <c r="J57" s="15">
        <f t="shared" si="1"/>
        <v>310</v>
      </c>
      <c r="K57" s="16" t="s">
        <v>56</v>
      </c>
      <c r="L57" s="16" t="s">
        <v>63</v>
      </c>
      <c r="M57" s="16" t="s">
        <v>60</v>
      </c>
      <c r="N57" s="17" t="s">
        <v>94</v>
      </c>
    </row>
    <row r="58" spans="1:14" x14ac:dyDescent="0.3">
      <c r="A58" s="8">
        <v>46303</v>
      </c>
      <c r="B58" s="14">
        <v>300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660</v>
      </c>
      <c r="I58" s="15">
        <f t="shared" si="0"/>
        <v>960</v>
      </c>
      <c r="J58" s="15">
        <f t="shared" si="1"/>
        <v>480</v>
      </c>
      <c r="K58" s="16" t="s">
        <v>62</v>
      </c>
      <c r="L58" s="16" t="s">
        <v>70</v>
      </c>
      <c r="M58" s="16" t="s">
        <v>60</v>
      </c>
      <c r="N58" s="17" t="s">
        <v>93</v>
      </c>
    </row>
    <row r="59" spans="1:14" x14ac:dyDescent="0.3">
      <c r="A59" s="8">
        <v>46304</v>
      </c>
      <c r="B59" s="14">
        <v>400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600</v>
      </c>
      <c r="I59" s="15">
        <f t="shared" si="0"/>
        <v>1000</v>
      </c>
      <c r="J59" s="15">
        <f t="shared" si="1"/>
        <v>440</v>
      </c>
      <c r="K59" s="16" t="s">
        <v>52</v>
      </c>
      <c r="L59" s="16" t="s">
        <v>63</v>
      </c>
      <c r="M59" s="16" t="s">
        <v>57</v>
      </c>
      <c r="N59" s="17" t="s">
        <v>91</v>
      </c>
    </row>
    <row r="60" spans="1:14" ht="28.8" x14ac:dyDescent="0.3">
      <c r="A60" s="8">
        <v>46305</v>
      </c>
      <c r="B60" s="14">
        <v>380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650</v>
      </c>
      <c r="I60" s="15">
        <f t="shared" si="0"/>
        <v>1030</v>
      </c>
      <c r="J60" s="15">
        <f t="shared" si="1"/>
        <v>410</v>
      </c>
      <c r="K60" s="16" t="s">
        <v>62</v>
      </c>
      <c r="L60" s="16" t="s">
        <v>70</v>
      </c>
      <c r="M60" s="16" t="s">
        <v>60</v>
      </c>
      <c r="N60" s="17" t="s">
        <v>92</v>
      </c>
    </row>
    <row r="61" spans="1:14" x14ac:dyDescent="0.3">
      <c r="A61" s="8">
        <v>46306</v>
      </c>
      <c r="B61" s="14">
        <v>415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540</v>
      </c>
      <c r="I61" s="15">
        <f t="shared" si="0"/>
        <v>1135</v>
      </c>
      <c r="J61" s="15">
        <f t="shared" si="1"/>
        <v>305</v>
      </c>
      <c r="K61" s="16" t="s">
        <v>56</v>
      </c>
      <c r="L61" s="16" t="s">
        <v>63</v>
      </c>
      <c r="M61" s="16" t="s">
        <v>57</v>
      </c>
      <c r="N61" s="17"/>
    </row>
    <row r="62" spans="1:14" x14ac:dyDescent="0.3">
      <c r="A62" s="8">
        <v>46307</v>
      </c>
      <c r="B62" s="14">
        <v>420</v>
      </c>
      <c r="C62" s="14">
        <v>15</v>
      </c>
      <c r="D62" s="14">
        <v>150</v>
      </c>
      <c r="E62" s="14">
        <v>0</v>
      </c>
      <c r="F62" s="14">
        <v>0</v>
      </c>
      <c r="G62" s="14">
        <v>0</v>
      </c>
      <c r="H62" s="14">
        <v>420</v>
      </c>
      <c r="I62" s="15">
        <f t="shared" si="0"/>
        <v>1005</v>
      </c>
      <c r="J62" s="15">
        <f t="shared" si="1"/>
        <v>435</v>
      </c>
      <c r="K62" s="16" t="s">
        <v>56</v>
      </c>
      <c r="L62" s="16" t="s">
        <v>63</v>
      </c>
      <c r="M62" s="16" t="s">
        <v>57</v>
      </c>
      <c r="N62" s="17" t="s">
        <v>89</v>
      </c>
    </row>
    <row r="63" spans="1:14" x14ac:dyDescent="0.3">
      <c r="A63" s="8">
        <v>46308</v>
      </c>
      <c r="B63" s="14">
        <v>400</v>
      </c>
      <c r="C63" s="14">
        <v>20</v>
      </c>
      <c r="D63" s="14">
        <v>165</v>
      </c>
      <c r="E63" s="14">
        <v>0</v>
      </c>
      <c r="F63" s="14">
        <v>0</v>
      </c>
      <c r="G63" s="14">
        <v>0</v>
      </c>
      <c r="H63" s="14">
        <v>450</v>
      </c>
      <c r="I63" s="15">
        <f t="shared" si="0"/>
        <v>1035</v>
      </c>
      <c r="J63" s="15">
        <f t="shared" si="1"/>
        <v>405</v>
      </c>
      <c r="K63" s="16" t="s">
        <v>56</v>
      </c>
      <c r="L63" s="16" t="s">
        <v>63</v>
      </c>
      <c r="M63" s="16" t="s">
        <v>60</v>
      </c>
      <c r="N63" s="17" t="s">
        <v>90</v>
      </c>
    </row>
    <row r="64" spans="1:14" x14ac:dyDescent="0.3">
      <c r="A64" s="8">
        <v>46309</v>
      </c>
      <c r="B64" s="14">
        <v>450</v>
      </c>
      <c r="C64" s="14">
        <v>20</v>
      </c>
      <c r="D64" s="14">
        <v>200</v>
      </c>
      <c r="E64" s="14">
        <v>0</v>
      </c>
      <c r="F64" s="14">
        <v>0</v>
      </c>
      <c r="G64" s="14">
        <v>0</v>
      </c>
      <c r="H64" s="14">
        <v>350</v>
      </c>
      <c r="I64" s="15">
        <f t="shared" si="0"/>
        <v>1020</v>
      </c>
      <c r="J64" s="15">
        <f t="shared" si="1"/>
        <v>420</v>
      </c>
      <c r="K64" s="16" t="s">
        <v>52</v>
      </c>
      <c r="L64" s="16" t="s">
        <v>52</v>
      </c>
      <c r="M64" s="16" t="s">
        <v>57</v>
      </c>
      <c r="N64" s="17" t="s">
        <v>88</v>
      </c>
    </row>
    <row r="65" spans="1:14" x14ac:dyDescent="0.3">
      <c r="A65" s="8">
        <v>46310</v>
      </c>
      <c r="B65" s="14">
        <v>420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490</v>
      </c>
      <c r="I65" s="15">
        <f t="shared" si="0"/>
        <v>1140</v>
      </c>
      <c r="J65" s="15">
        <f t="shared" si="1"/>
        <v>300</v>
      </c>
      <c r="K65" s="16" t="s">
        <v>52</v>
      </c>
      <c r="L65" s="16" t="s">
        <v>63</v>
      </c>
      <c r="M65" s="16" t="s">
        <v>57</v>
      </c>
      <c r="N65" s="17"/>
    </row>
    <row r="66" spans="1:14" x14ac:dyDescent="0.3">
      <c r="A66" s="8">
        <v>46311</v>
      </c>
      <c r="B66" s="14">
        <v>400</v>
      </c>
      <c r="C66" s="14">
        <v>0</v>
      </c>
      <c r="D66" s="14">
        <v>180</v>
      </c>
      <c r="E66" s="14">
        <v>0</v>
      </c>
      <c r="F66" s="14">
        <v>0</v>
      </c>
      <c r="G66" s="14">
        <v>0</v>
      </c>
      <c r="H66" s="14">
        <v>520</v>
      </c>
      <c r="I66" s="15">
        <f t="shared" si="0"/>
        <v>1100</v>
      </c>
      <c r="J66" s="15">
        <f t="shared" si="1"/>
        <v>340</v>
      </c>
      <c r="K66" s="16" t="s">
        <v>56</v>
      </c>
      <c r="L66" s="16" t="s">
        <v>63</v>
      </c>
      <c r="M66" s="16" t="s">
        <v>60</v>
      </c>
      <c r="N66" s="17"/>
    </row>
    <row r="67" spans="1:14" x14ac:dyDescent="0.3">
      <c r="A67" s="8">
        <v>46312</v>
      </c>
      <c r="B67" s="14">
        <v>410</v>
      </c>
      <c r="C67" s="14">
        <v>0</v>
      </c>
      <c r="D67" s="14">
        <v>150</v>
      </c>
      <c r="E67" s="14">
        <v>0</v>
      </c>
      <c r="F67" s="14">
        <v>0</v>
      </c>
      <c r="G67" s="14">
        <v>0</v>
      </c>
      <c r="H67" s="14">
        <v>500</v>
      </c>
      <c r="I67" s="15">
        <f t="shared" si="0"/>
        <v>1060</v>
      </c>
      <c r="J67" s="15">
        <f t="shared" si="1"/>
        <v>380</v>
      </c>
      <c r="K67" s="16" t="s">
        <v>56</v>
      </c>
      <c r="L67" s="16" t="s">
        <v>63</v>
      </c>
      <c r="M67" s="16" t="s">
        <v>60</v>
      </c>
      <c r="N67" s="17" t="s">
        <v>101</v>
      </c>
    </row>
    <row r="68" spans="1:14" x14ac:dyDescent="0.3">
      <c r="A68" s="8">
        <v>46313</v>
      </c>
      <c r="B68" s="14">
        <v>400</v>
      </c>
      <c r="C68" s="14">
        <v>20</v>
      </c>
      <c r="D68" s="14">
        <v>0</v>
      </c>
      <c r="E68" s="14">
        <v>0</v>
      </c>
      <c r="F68" s="14">
        <v>0</v>
      </c>
      <c r="G68" s="14">
        <v>0</v>
      </c>
      <c r="H68" s="14">
        <v>650</v>
      </c>
      <c r="I68" s="15">
        <f t="shared" si="0"/>
        <v>1070</v>
      </c>
      <c r="J68" s="15">
        <f t="shared" si="1"/>
        <v>370</v>
      </c>
      <c r="K68" s="16" t="s">
        <v>52</v>
      </c>
      <c r="L68" s="16" t="s">
        <v>63</v>
      </c>
      <c r="M68" s="16" t="s">
        <v>60</v>
      </c>
      <c r="N68" s="17" t="s">
        <v>100</v>
      </c>
    </row>
    <row r="69" spans="1:14" x14ac:dyDescent="0.3">
      <c r="A69" s="8">
        <v>46314</v>
      </c>
      <c r="B69" s="14">
        <v>430</v>
      </c>
      <c r="C69" s="14">
        <v>0</v>
      </c>
      <c r="D69" s="14">
        <v>0</v>
      </c>
      <c r="E69" s="14">
        <v>0</v>
      </c>
      <c r="F69" s="14">
        <v>200</v>
      </c>
      <c r="G69" s="14">
        <v>4</v>
      </c>
      <c r="H69" s="14">
        <v>460</v>
      </c>
      <c r="I69" s="15">
        <f t="shared" si="0"/>
        <v>1090</v>
      </c>
      <c r="J69" s="15">
        <f t="shared" si="1"/>
        <v>350</v>
      </c>
      <c r="K69" s="16" t="s">
        <v>62</v>
      </c>
      <c r="L69" s="16" t="s">
        <v>70</v>
      </c>
      <c r="M69" s="16" t="s">
        <v>60</v>
      </c>
      <c r="N69" s="17" t="s">
        <v>99</v>
      </c>
    </row>
    <row r="70" spans="1:14" x14ac:dyDescent="0.3">
      <c r="A70" s="8">
        <v>46315</v>
      </c>
      <c r="B70" s="14">
        <v>380</v>
      </c>
      <c r="C70" s="14">
        <v>0</v>
      </c>
      <c r="D70" s="14">
        <v>110</v>
      </c>
      <c r="E70" s="14">
        <v>60</v>
      </c>
      <c r="F70" s="14">
        <v>0</v>
      </c>
      <c r="G70" s="14">
        <v>0</v>
      </c>
      <c r="H70" s="14">
        <v>350</v>
      </c>
      <c r="I70" s="15">
        <f t="shared" si="0"/>
        <v>900</v>
      </c>
      <c r="J70" s="15">
        <f t="shared" si="1"/>
        <v>540</v>
      </c>
      <c r="K70" s="16" t="s">
        <v>52</v>
      </c>
      <c r="L70" s="16" t="s">
        <v>63</v>
      </c>
      <c r="M70" s="16" t="s">
        <v>57</v>
      </c>
      <c r="N70" s="17"/>
    </row>
    <row r="71" spans="1:14" x14ac:dyDescent="0.3">
      <c r="A71" s="8">
        <v>46316</v>
      </c>
      <c r="B71" s="14">
        <v>400</v>
      </c>
      <c r="C71" s="14">
        <v>0</v>
      </c>
      <c r="D71" s="14">
        <v>60</v>
      </c>
      <c r="E71" s="14">
        <v>60</v>
      </c>
      <c r="F71" s="14">
        <v>350</v>
      </c>
      <c r="G71" s="14">
        <v>7</v>
      </c>
      <c r="H71" s="14">
        <v>290</v>
      </c>
      <c r="I71" s="15">
        <f t="shared" si="0"/>
        <v>1160</v>
      </c>
      <c r="J71" s="15">
        <f t="shared" si="1"/>
        <v>280</v>
      </c>
      <c r="K71" s="16" t="s">
        <v>56</v>
      </c>
      <c r="L71" s="16" t="s">
        <v>63</v>
      </c>
      <c r="M71" s="16" t="s">
        <v>57</v>
      </c>
      <c r="N71" s="17"/>
    </row>
    <row r="72" spans="1:14" x14ac:dyDescent="0.3">
      <c r="A72" s="8">
        <v>46317</v>
      </c>
      <c r="B72" s="14">
        <v>360</v>
      </c>
      <c r="C72" s="14">
        <v>0</v>
      </c>
      <c r="D72" s="14">
        <v>100</v>
      </c>
      <c r="E72" s="14">
        <v>50</v>
      </c>
      <c r="F72" s="14">
        <v>200</v>
      </c>
      <c r="G72" s="14">
        <v>4</v>
      </c>
      <c r="H72" s="14">
        <v>360</v>
      </c>
      <c r="I72" s="15">
        <f t="shared" si="0"/>
        <v>1070</v>
      </c>
      <c r="J72" s="15">
        <f t="shared" si="1"/>
        <v>370</v>
      </c>
      <c r="K72" s="16" t="s">
        <v>52</v>
      </c>
      <c r="L72" s="16" t="s">
        <v>52</v>
      </c>
      <c r="M72" s="16" t="s">
        <v>54</v>
      </c>
      <c r="N72" s="17" t="s">
        <v>106</v>
      </c>
    </row>
    <row r="73" spans="1:14" x14ac:dyDescent="0.3">
      <c r="A73" s="8">
        <v>46318</v>
      </c>
      <c r="B73" s="14">
        <v>400</v>
      </c>
      <c r="C73" s="14">
        <v>0</v>
      </c>
      <c r="D73" s="14">
        <v>60</v>
      </c>
      <c r="E73" s="14">
        <v>90</v>
      </c>
      <c r="F73" s="14">
        <v>250</v>
      </c>
      <c r="G73" s="14">
        <v>5</v>
      </c>
      <c r="H73" s="14">
        <v>320</v>
      </c>
      <c r="I73" s="15">
        <f t="shared" si="0"/>
        <v>1120</v>
      </c>
      <c r="J73" s="15">
        <f t="shared" si="1"/>
        <v>320</v>
      </c>
      <c r="K73" s="16" t="s">
        <v>52</v>
      </c>
      <c r="L73" s="16" t="s">
        <v>63</v>
      </c>
      <c r="M73" s="16" t="s">
        <v>57</v>
      </c>
      <c r="N73" s="17"/>
    </row>
    <row r="74" spans="1:14" x14ac:dyDescent="0.3">
      <c r="A74" s="8">
        <v>46319</v>
      </c>
      <c r="B74" s="14">
        <v>450</v>
      </c>
      <c r="C74" s="14">
        <v>30</v>
      </c>
      <c r="D74" s="14">
        <v>90</v>
      </c>
      <c r="E74" s="14">
        <v>80</v>
      </c>
      <c r="F74" s="14">
        <v>0</v>
      </c>
      <c r="G74" s="14">
        <v>0</v>
      </c>
      <c r="H74" s="14">
        <v>400</v>
      </c>
      <c r="I74" s="15">
        <f t="shared" si="0"/>
        <v>1050</v>
      </c>
      <c r="J74" s="15">
        <f t="shared" si="1"/>
        <v>390</v>
      </c>
      <c r="K74" s="16" t="s">
        <v>56</v>
      </c>
      <c r="L74" s="16" t="s">
        <v>63</v>
      </c>
      <c r="M74" s="16" t="s">
        <v>57</v>
      </c>
      <c r="N74" s="17" t="s">
        <v>107</v>
      </c>
    </row>
    <row r="75" spans="1:14" x14ac:dyDescent="0.3">
      <c r="A75" s="8">
        <v>46320</v>
      </c>
      <c r="B75" s="14">
        <v>420</v>
      </c>
      <c r="C75" s="14">
        <v>30</v>
      </c>
      <c r="D75" s="14">
        <v>80</v>
      </c>
      <c r="E75" s="14">
        <v>100</v>
      </c>
      <c r="F75" s="14">
        <v>0</v>
      </c>
      <c r="G75" s="14">
        <v>0</v>
      </c>
      <c r="H75" s="14">
        <v>450</v>
      </c>
      <c r="I75" s="15">
        <f t="shared" si="0"/>
        <v>1080</v>
      </c>
      <c r="J75" s="15">
        <f t="shared" si="1"/>
        <v>360</v>
      </c>
      <c r="K75" s="16" t="s">
        <v>62</v>
      </c>
      <c r="L75" s="16" t="s">
        <v>70</v>
      </c>
      <c r="M75" s="16" t="s">
        <v>60</v>
      </c>
      <c r="N75" s="17" t="s">
        <v>109</v>
      </c>
    </row>
    <row r="76" spans="1:14" x14ac:dyDescent="0.3">
      <c r="A76" s="8">
        <v>46321</v>
      </c>
      <c r="B76" s="14">
        <v>430</v>
      </c>
      <c r="C76" s="14">
        <v>30</v>
      </c>
      <c r="D76" s="14">
        <v>120</v>
      </c>
      <c r="E76" s="14">
        <v>80</v>
      </c>
      <c r="F76" s="14">
        <v>0</v>
      </c>
      <c r="G76" s="14">
        <v>0</v>
      </c>
      <c r="H76" s="14">
        <v>400</v>
      </c>
      <c r="I76" s="15">
        <f t="shared" si="0"/>
        <v>1060</v>
      </c>
      <c r="J76" s="15">
        <f t="shared" si="1"/>
        <v>380</v>
      </c>
      <c r="K76" s="16" t="s">
        <v>56</v>
      </c>
      <c r="L76" s="16" t="s">
        <v>70</v>
      </c>
      <c r="M76" s="16" t="s">
        <v>60</v>
      </c>
      <c r="N76" s="17"/>
    </row>
    <row r="77" spans="1:14" x14ac:dyDescent="0.3">
      <c r="A77" s="8">
        <v>46322</v>
      </c>
      <c r="B77" s="14">
        <v>380</v>
      </c>
      <c r="C77" s="14">
        <v>0</v>
      </c>
      <c r="D77" s="14">
        <v>100</v>
      </c>
      <c r="E77" s="14">
        <v>60</v>
      </c>
      <c r="F77" s="14">
        <v>200</v>
      </c>
      <c r="G77" s="14">
        <v>4</v>
      </c>
      <c r="H77" s="14">
        <v>360</v>
      </c>
      <c r="I77" s="15">
        <f t="shared" si="0"/>
        <v>1100</v>
      </c>
      <c r="J77" s="15">
        <f t="shared" si="1"/>
        <v>340</v>
      </c>
      <c r="K77" s="16" t="s">
        <v>56</v>
      </c>
      <c r="L77" s="16" t="s">
        <v>63</v>
      </c>
      <c r="M77" s="16" t="s">
        <v>57</v>
      </c>
      <c r="N77" s="17" t="s">
        <v>108</v>
      </c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0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0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0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0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0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0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0"/>
        <v/>
      </c>
      <c r="J86" s="15" t="str">
        <f t="shared" si="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0"/>
        <v/>
      </c>
      <c r="J87" s="15" t="str">
        <f t="shared" si="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ref="I88:I151" si="10">IF(SUM(B88:F88,H88)=0,"",SUM(B88:F88,H88))</f>
        <v/>
      </c>
      <c r="J88" s="15" t="str">
        <f t="shared" ref="J88:J151" si="11">IF(I88="","",1440-I88)</f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0"/>
        <v/>
      </c>
      <c r="J134" s="15" t="str">
        <f t="shared" si="11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ref="I152:I215" si="12">IF(SUM(B152:F152,H152)=0,"",SUM(B152:F152,H152))</f>
        <v/>
      </c>
      <c r="J152" s="15" t="str">
        <f t="shared" ref="J152:J215" si="13">IF(I152="","",1440-I152)</f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2"/>
        <v/>
      </c>
      <c r="J198" s="15" t="str">
        <f t="shared" si="13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ref="I216:I279" si="14">IF(SUM(B216:F216,H216)=0,"",SUM(B216:F216,H216))</f>
        <v/>
      </c>
      <c r="J216" s="15" t="str">
        <f t="shared" ref="J216:J279" si="15">IF(I216="","",1440-I216)</f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4"/>
        <v/>
      </c>
      <c r="J262" s="15" t="str">
        <f t="shared" si="15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ref="I280:I343" si="16">IF(SUM(B280:F280,H280)=0,"",SUM(B280:F280,H280))</f>
        <v/>
      </c>
      <c r="J280" s="15" t="str">
        <f t="shared" ref="J280:J343" si="17">IF(I280="","",1440-I280)</f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6"/>
        <v/>
      </c>
      <c r="J326" s="15" t="str">
        <f t="shared" si="17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ref="I344:I407" si="18">IF(SUM(B344:F344,H344)=0,"",SUM(B344:F344,H344))</f>
        <v/>
      </c>
      <c r="J344" s="15" t="str">
        <f t="shared" ref="J344:J407" si="19">IF(I344="","",1440-I344)</f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8"/>
        <v/>
      </c>
      <c r="J390" s="15" t="str">
        <f t="shared" si="19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8"/>
        <v/>
      </c>
      <c r="J402" s="15" t="str">
        <f t="shared" si="19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8"/>
        <v/>
      </c>
      <c r="J403" s="15" t="str">
        <f t="shared" si="19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8"/>
        <v/>
      </c>
      <c r="J404" s="15" t="str">
        <f t="shared" si="19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8"/>
        <v/>
      </c>
      <c r="J405" s="15" t="str">
        <f t="shared" si="19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8"/>
        <v/>
      </c>
      <c r="J406" s="15" t="str">
        <f t="shared" si="19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8"/>
        <v/>
      </c>
      <c r="J407" s="15" t="str">
        <f t="shared" si="19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ref="I408:I419" si="20">IF(SUM(B408:F408,H408)=0,"",SUM(B408:F408,H408))</f>
        <v/>
      </c>
      <c r="J408" s="15" t="str">
        <f t="shared" ref="J408:J419" si="21">IF(I408="","",1440-I408)</f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20"/>
        <v/>
      </c>
      <c r="J409" s="15" t="str">
        <f t="shared" si="21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20"/>
        <v/>
      </c>
      <c r="J410" s="15" t="str">
        <f t="shared" si="21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20"/>
        <v/>
      </c>
      <c r="J411" s="15" t="str">
        <f t="shared" si="21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20"/>
        <v/>
      </c>
      <c r="J412" s="15" t="str">
        <f t="shared" si="21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20"/>
        <v/>
      </c>
      <c r="J413" s="15" t="str">
        <f t="shared" si="21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20"/>
        <v/>
      </c>
      <c r="J414" s="15" t="str">
        <f t="shared" si="21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20"/>
        <v/>
      </c>
      <c r="J415" s="15" t="str">
        <f t="shared" si="21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20"/>
        <v/>
      </c>
      <c r="J416" s="15" t="str">
        <f t="shared" si="21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20"/>
        <v/>
      </c>
      <c r="J417" s="15" t="str">
        <f t="shared" si="21"/>
        <v/>
      </c>
      <c r="K417" s="16"/>
      <c r="L417" s="16"/>
      <c r="M417" s="16"/>
      <c r="N417" s="17"/>
    </row>
    <row r="418" spans="1:14" x14ac:dyDescent="0.3">
      <c r="A418" s="13"/>
      <c r="B418" s="14"/>
      <c r="C418" s="14"/>
      <c r="D418" s="14"/>
      <c r="E418" s="14"/>
      <c r="F418" s="14"/>
      <c r="G418" s="14"/>
      <c r="H418" s="14"/>
      <c r="I418" s="15" t="str">
        <f t="shared" si="20"/>
        <v/>
      </c>
      <c r="J418" s="15" t="str">
        <f t="shared" si="21"/>
        <v/>
      </c>
      <c r="K418" s="16"/>
      <c r="L418" s="16"/>
      <c r="M418" s="16"/>
      <c r="N418" s="17"/>
    </row>
    <row r="419" spans="1:14" x14ac:dyDescent="0.3">
      <c r="A419" s="13"/>
      <c r="B419" s="14"/>
      <c r="C419" s="14"/>
      <c r="D419" s="14"/>
      <c r="E419" s="14"/>
      <c r="F419" s="14"/>
      <c r="G419" s="14"/>
      <c r="H419" s="14"/>
      <c r="I419" s="15" t="str">
        <f t="shared" si="20"/>
        <v/>
      </c>
      <c r="J419" s="15" t="str">
        <f t="shared" si="21"/>
        <v/>
      </c>
      <c r="K419" s="16"/>
      <c r="L419" s="16"/>
      <c r="M419" s="16"/>
      <c r="N41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9" xr:uid="{00000000-0002-0000-0100-000000000000}">
      <formula1>"Excellent,Good,Neutral,Low,Stressed"</formula1>
      <formula2>0</formula2>
    </dataValidation>
    <dataValidation type="list" allowBlank="1" prompt="Select today's satisfaction level" sqref="L6:L4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2026-10-27T16:56:58Z</dcterms:modified>
  <dc:language>en-US</dc:language>
</cp:coreProperties>
</file>